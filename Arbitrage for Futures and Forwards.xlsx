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5E36EBE4-7F3F-4F1F-88E7-E28D1586E137}" xr6:coauthVersionLast="47" xr6:coauthVersionMax="47" xr10:uidLastSave="{00000000-0000-0000-0000-000000000000}"/>
  <bookViews>
    <workbookView xWindow="-120" yWindow="-120" windowWidth="20730" windowHeight="11040" activeTab="1" xr2:uid="{5B2506AB-1F09-44B5-9A72-2E91C0846FCB}"/>
  </bookViews>
  <sheets>
    <sheet name="Stock" sheetId="1" r:id="rId1"/>
    <sheet name="Commodity" sheetId="5" r:id="rId2"/>
    <sheet name="FX" sheetId="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5" i="6" l="1"/>
  <c r="C10" i="6" s="1"/>
  <c r="J5" i="5"/>
  <c r="I5" i="5"/>
  <c r="I5" i="1"/>
  <c r="C10" i="1" s="1"/>
  <c r="C14" i="1" s="1"/>
  <c r="C23" i="1" s="1" a="1"/>
  <c r="C23" i="1" s="1"/>
  <c r="H14" i="1" l="1"/>
  <c r="M21" i="6"/>
  <c r="C14" i="6"/>
  <c r="G14" i="6" s="1"/>
  <c r="Q5" i="5"/>
  <c r="C10" i="5" s="1"/>
  <c r="K21" i="1"/>
  <c r="E14" i="6" l="1" a="1"/>
  <c r="E14" i="6" s="1"/>
  <c r="C21" i="6" a="1"/>
  <c r="C21" i="6" s="1"/>
  <c r="C23" i="6" a="1"/>
  <c r="C23" i="6" s="1"/>
  <c r="K21" i="5"/>
  <c r="C14" i="5"/>
  <c r="E14" i="1" a="1"/>
  <c r="E14" i="1" s="1"/>
  <c r="H14" i="5" l="1"/>
  <c r="C23" i="5" a="1"/>
  <c r="C23" i="5" s="1"/>
  <c r="C21" i="5" a="1"/>
  <c r="C21" i="5" s="1"/>
  <c r="E14" i="5" a="1"/>
  <c r="E14" i="5" s="1"/>
  <c r="C21" i="1" a="1"/>
  <c r="C21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<sst xmlns="http://schemas.openxmlformats.org/spreadsheetml/2006/main" count="68" uniqueCount="40">
  <si>
    <t>Symbol</t>
  </si>
  <si>
    <t>Futures price</t>
  </si>
  <si>
    <t>Spot price</t>
  </si>
  <si>
    <t>Risk-free rate</t>
  </si>
  <si>
    <t>Dividends</t>
  </si>
  <si>
    <t>Mispricing</t>
  </si>
  <si>
    <t>Interpretation</t>
  </si>
  <si>
    <t>Arbitrage</t>
  </si>
  <si>
    <t>Arbitrage Strategy</t>
  </si>
  <si>
    <t>PnL</t>
  </si>
  <si>
    <t>Asset</t>
  </si>
  <si>
    <t>Convenience Yield</t>
  </si>
  <si>
    <t>Foreign rate</t>
  </si>
  <si>
    <t>Domestic rate</t>
  </si>
  <si>
    <t>2) Future price</t>
  </si>
  <si>
    <t>3) Strategy</t>
  </si>
  <si>
    <t>TotalEnergies</t>
  </si>
  <si>
    <t>TTE</t>
  </si>
  <si>
    <t>Maturity (in years)</t>
  </si>
  <si>
    <t>1TOTH2026</t>
  </si>
  <si>
    <t>Maturity date</t>
  </si>
  <si>
    <t>1) Inputs</t>
  </si>
  <si>
    <t>Cost of Carry</t>
  </si>
  <si>
    <t>Brent Crude Oil</t>
  </si>
  <si>
    <t>Storage cost</t>
  </si>
  <si>
    <t>Insurance cost</t>
  </si>
  <si>
    <t>Transport cost</t>
  </si>
  <si>
    <t>EUR/USD</t>
  </si>
  <si>
    <t>EURUSD</t>
  </si>
  <si>
    <t>EURUSD1M</t>
  </si>
  <si>
    <t>Spot price ($/barrel)</t>
  </si>
  <si>
    <t>Futures price ($/barrel)</t>
  </si>
  <si>
    <t>BRNJ26</t>
  </si>
  <si>
    <t>BRN.1</t>
  </si>
  <si>
    <t>2) Forward price</t>
  </si>
  <si>
    <t>Forward price</t>
  </si>
  <si>
    <t>2) Futures price</t>
  </si>
  <si>
    <t>Theoretical Futures price</t>
  </si>
  <si>
    <t>Theoretical Forward price</t>
  </si>
  <si>
    <t>Financing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</si>
</sst>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* #,##0.00\ &quot;€&quot;_-;\-* #,##0.00\ &quot;€&quot;_-;_-* &quot;-&quot;??\ &quot;€&quot;_-;_-@_-"/>
    <numFmt numFmtId="164" formatCode="0.0000"/>
    <numFmt numFmtId="165" formatCode="_-* #,##0.0000\ [$€-40C]_-;\-* #,##0.0000\ [$€-40C]_-;_-* &quot;-&quot;??\ [$€-40C]_-;_-@_-"/>
    <numFmt numFmtId="166" formatCode="_-* #,##0.0000\ &quot;€&quot;_-;\-* #,##0.0000\ &quot;€&quot;_-;_-* &quot;-&quot;??\ &quot;€&quot;_-;_-@_-"/>
    <numFmt numFmtId="167" formatCode="0.0%"/>
    <numFmt numFmtId="168" formatCode="0.0000%"/>
    <numFmt numFmtId="169" formatCode="_-[$$-409]* #,##0.0000_ ;_-[$$-409]* \-#,##0.0000\ ;_-[$$-409]* &quot;-&quot;??_ ;_-@_ "/>
  </numFmts>
  <fonts count="1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22"/>
      <color theme="0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7">
    <xf numFmtId="0" fontId="0" fillId="0" borderId="0" xfId="0"/>
    <xf numFmtId="0" fontId="0" fillId="2" borderId="0" xfId="0" applyFill="1"/>
    <xf numFmtId="0" fontId="6" fillId="3" borderId="0" xfId="0" applyFont="1" applyFill="1"/>
    <xf numFmtId="0" fontId="4" fillId="3" borderId="0" xfId="0" applyFont="1" applyFill="1"/>
    <xf numFmtId="0" fontId="6" fillId="4" borderId="0" xfId="0" applyFont="1" applyFill="1"/>
    <xf numFmtId="0" fontId="4" fillId="4" borderId="0" xfId="0" applyFont="1" applyFill="1"/>
    <xf numFmtId="0" fontId="6" fillId="5" borderId="0" xfId="0" applyFont="1" applyFill="1"/>
    <xf numFmtId="0" fontId="4" fillId="5" borderId="0" xfId="0" applyFont="1" applyFill="1"/>
    <xf numFmtId="0" fontId="0" fillId="2" borderId="1" xfId="0" applyFill="1" applyBorder="1" applyAlignment="1">
      <alignment horizontal="center" vertical="center"/>
    </xf>
    <xf numFmtId="9" fontId="0" fillId="2" borderId="1" xfId="0" applyNumberFormat="1" applyFill="1" applyBorder="1" applyAlignment="1">
      <alignment horizontal="center" vertical="center"/>
    </xf>
    <xf numFmtId="10" fontId="0" fillId="2" borderId="1" xfId="0" applyNumberFormat="1" applyFill="1" applyBorder="1" applyAlignment="1">
      <alignment horizontal="center" vertical="center"/>
    </xf>
    <xf numFmtId="14" fontId="0" fillId="2" borderId="1" xfId="0" applyNumberFormat="1" applyFill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165" fontId="0" fillId="2" borderId="1" xfId="0" applyNumberFormat="1" applyFill="1" applyBorder="1" applyAlignment="1">
      <alignment horizontal="center" vertical="center"/>
    </xf>
    <xf numFmtId="166" fontId="0" fillId="2" borderId="1" xfId="1" applyNumberFormat="1" applyFont="1" applyFill="1" applyBorder="1" applyAlignment="1">
      <alignment horizontal="center" vertical="center"/>
    </xf>
    <xf numFmtId="0" fontId="3" fillId="6" borderId="1" xfId="0" applyFont="1" applyFill="1" applyBorder="1"/>
    <xf numFmtId="0" fontId="7" fillId="7" borderId="12" xfId="0" applyFont="1" applyFill="1" applyBorder="1" applyAlignment="1">
      <alignment horizontal="center" vertical="center"/>
    </xf>
    <xf numFmtId="167" fontId="0" fillId="2" borderId="1" xfId="2" applyNumberFormat="1" applyFont="1" applyFill="1" applyBorder="1" applyAlignment="1">
      <alignment horizontal="center" vertical="center"/>
    </xf>
    <xf numFmtId="167" fontId="0" fillId="2" borderId="1" xfId="0" applyNumberFormat="1" applyFill="1" applyBorder="1" applyAlignment="1">
      <alignment horizontal="center" vertical="center"/>
    </xf>
    <xf numFmtId="168" fontId="0" fillId="2" borderId="1" xfId="0" applyNumberForma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/>
    </xf>
    <xf numFmtId="169" fontId="0" fillId="2" borderId="1" xfId="0" applyNumberFormat="1" applyFill="1" applyBorder="1" applyAlignment="1">
      <alignment horizontal="center" vertical="center"/>
    </xf>
    <xf numFmtId="169" fontId="0" fillId="2" borderId="1" xfId="1" applyNumberFormat="1" applyFont="1" applyFill="1" applyBorder="1" applyAlignment="1">
      <alignment horizontal="center" vertical="center"/>
    </xf>
    <xf numFmtId="0" fontId="5" fillId="9" borderId="2" xfId="0" applyFont="1" applyFill="1" applyBorder="1" applyAlignment="1">
      <alignment horizontal="center"/>
    </xf>
    <xf numFmtId="0" fontId="5" fillId="9" borderId="3" xfId="0" applyFont="1" applyFill="1" applyBorder="1" applyAlignment="1">
      <alignment horizontal="center"/>
    </xf>
    <xf numFmtId="0" fontId="5" fillId="9" borderId="4" xfId="0" applyFont="1" applyFill="1" applyBorder="1" applyAlignment="1">
      <alignment horizontal="center"/>
    </xf>
    <xf numFmtId="166" fontId="8" fillId="7" borderId="13" xfId="1" applyNumberFormat="1" applyFont="1" applyFill="1" applyBorder="1" applyAlignment="1">
      <alignment horizontal="center" vertical="center"/>
    </xf>
    <xf numFmtId="166" fontId="8" fillId="7" borderId="8" xfId="1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0" fillId="2" borderId="9" xfId="0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11" xfId="0" applyFill="1" applyBorder="1" applyAlignment="1">
      <alignment horizontal="left" vertical="center"/>
    </xf>
    <xf numFmtId="0" fontId="9" fillId="7" borderId="2" xfId="0" applyFont="1" applyFill="1" applyBorder="1" applyAlignment="1">
      <alignment horizontal="center" vertical="center"/>
    </xf>
    <xf numFmtId="0" fontId="9" fillId="7" borderId="3" xfId="0" applyFont="1" applyFill="1" applyBorder="1" applyAlignment="1">
      <alignment horizontal="center" vertical="center"/>
    </xf>
    <xf numFmtId="0" fontId="9" fillId="7" borderId="5" xfId="0" applyFont="1" applyFill="1" applyBorder="1" applyAlignment="1">
      <alignment horizontal="center" vertical="center"/>
    </xf>
    <xf numFmtId="0" fontId="9" fillId="7" borderId="6" xfId="0" applyFont="1" applyFill="1" applyBorder="1" applyAlignment="1">
      <alignment horizontal="center" vertical="center"/>
    </xf>
    <xf numFmtId="166" fontId="10" fillId="8" borderId="4" xfId="0" applyNumberFormat="1" applyFont="1" applyFill="1" applyBorder="1" applyAlignment="1">
      <alignment horizontal="center" vertical="center"/>
    </xf>
    <xf numFmtId="166" fontId="10" fillId="8" borderId="7" xfId="0" applyNumberFormat="1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/>
    </xf>
    <xf numFmtId="0" fontId="0" fillId="2" borderId="8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66" fontId="3" fillId="2" borderId="8" xfId="0" applyNumberFormat="1" applyFont="1" applyFill="1" applyBorder="1" applyAlignment="1">
      <alignment horizontal="left" vertical="center"/>
    </xf>
    <xf numFmtId="166" fontId="3" fillId="2" borderId="1" xfId="0" applyNumberFormat="1" applyFont="1" applyFill="1" applyBorder="1" applyAlignment="1">
      <alignment horizontal="left" vertical="center"/>
    </xf>
    <xf numFmtId="169" fontId="8" fillId="7" borderId="13" xfId="1" applyNumberFormat="1" applyFont="1" applyFill="1" applyBorder="1" applyAlignment="1">
      <alignment horizontal="center" vertical="center"/>
    </xf>
    <xf numFmtId="169" fontId="8" fillId="7" borderId="8" xfId="1" applyNumberFormat="1" applyFont="1" applyFill="1" applyBorder="1" applyAlignment="1">
      <alignment horizontal="center" vertical="center"/>
    </xf>
    <xf numFmtId="169" fontId="10" fillId="8" borderId="4" xfId="0" applyNumberFormat="1" applyFont="1" applyFill="1" applyBorder="1" applyAlignment="1">
      <alignment horizontal="center" vertical="center"/>
    </xf>
    <xf numFmtId="169" fontId="10" fillId="8" borderId="7" xfId="0" applyNumberFormat="1" applyFont="1" applyFill="1" applyBorder="1" applyAlignment="1">
      <alignment horizontal="center" vertical="center"/>
    </xf>
    <xf numFmtId="169" fontId="3" fillId="2" borderId="8" xfId="0" applyNumberFormat="1" applyFont="1" applyFill="1" applyBorder="1" applyAlignment="1">
      <alignment horizontal="left" vertical="center"/>
    </xf>
    <xf numFmtId="169" fontId="3" fillId="2" borderId="1" xfId="0" applyNumberFormat="1" applyFont="1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0" fillId="2" borderId="6" xfId="0" applyFill="1" applyBorder="1" applyAlignment="1">
      <alignment horizontal="left" vertical="center"/>
    </xf>
    <xf numFmtId="0" fontId="0" fillId="2" borderId="7" xfId="0" applyFill="1" applyBorder="1" applyAlignment="1">
      <alignment horizontal="left" vertic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9CD48-A12D-4AC7-B3FF-DF44EBE42CE5}">
  <sheetPr codeName="Sheet1"/>
  <dimension ref="A2:K23"/>
  <sheetViews>
    <sheetView zoomScale="76" workbookViewId="0">
      <selection activeCell="C21" sqref="C21:I22"/>
    </sheetView>
  </sheetViews>
  <sheetFormatPr defaultColWidth="11.375" defaultRowHeight="14.25"/>
  <cols>
    <col min="1" max="1" width="11.375" style="1"/>
    <col min="2" max="2" width="12.875" style="1" bestFit="1" customWidth="1"/>
    <col min="3" max="5" width="11.375" style="1"/>
    <col min="6" max="6" width="12.875" style="1" bestFit="1" customWidth="1"/>
    <col min="7" max="7" width="13.25" style="1" bestFit="1" customWidth="1"/>
    <col min="8" max="8" width="16.375" style="1" customWidth="1"/>
    <col min="9" max="9" width="17.75" style="1" customWidth="1"/>
    <col min="10" max="10" width="12" style="1" bestFit="1" customWidth="1"/>
    <col min="11" max="11" width="12.75" style="1" bestFit="1" customWidth="1"/>
    <col min="12" max="16384" width="11.375" style="1"/>
  </cols>
  <sheetData>
    <row r="2" spans="1:10" ht="27">
      <c r="A2" s="2" t="s">
        <v>21</v>
      </c>
      <c r="B2" s="3"/>
    </row>
    <row r="4" spans="1:10" ht="19.5" customHeight="1">
      <c r="B4" s="20" t="s">
        <v>10</v>
      </c>
      <c r="C4" s="20" t="s">
        <v>0</v>
      </c>
      <c r="D4" s="20" t="s">
        <v>2</v>
      </c>
      <c r="E4" s="20" t="s">
        <v>0</v>
      </c>
      <c r="F4" s="20" t="s">
        <v>1</v>
      </c>
      <c r="G4" s="20" t="s">
        <v>3</v>
      </c>
      <c r="H4" s="20" t="s">
        <v>20</v>
      </c>
      <c r="I4" s="20" t="s">
        <v>18</v>
      </c>
      <c r="J4" s="20" t="s">
        <v>4</v>
      </c>
    </row>
    <row r="5" spans="1:10" ht="26.25" customHeight="1">
      <c r="B5" s="8" t="s">
        <v>16</v>
      </c>
      <c r="C5" s="8" t="s">
        <v>17</v>
      </c>
      <c r="D5" s="13">
        <v>64.682699999999997</v>
      </c>
      <c r="E5" s="8" t="s">
        <v>19</v>
      </c>
      <c r="F5" s="14">
        <v>64.270899999999997</v>
      </c>
      <c r="G5" s="9">
        <v>0.03</v>
      </c>
      <c r="H5" s="11">
        <v>46101</v>
      </c>
      <c r="I5" s="12">
        <f ca="1">(H5-TODAY())/365</f>
        <v>7.3972602739726029E-2</v>
      </c>
      <c r="J5" s="10">
        <v>5.3999999999999999E-2</v>
      </c>
    </row>
    <row r="8" spans="1:10" ht="27">
      <c r="A8" s="4" t="s">
        <v>36</v>
      </c>
      <c r="B8" s="5"/>
      <c r="C8" s="5"/>
    </row>
    <row r="10" spans="1:10">
      <c r="A10" s="37" t="s">
        <v>37</v>
      </c>
      <c r="B10" s="38"/>
      <c r="C10" s="41">
        <f ca="1">F5*EXP((G5-J5)*I5)</f>
        <v>64.156898367830095</v>
      </c>
    </row>
    <row r="11" spans="1:10">
      <c r="A11" s="39"/>
      <c r="B11" s="40"/>
      <c r="C11" s="42"/>
    </row>
    <row r="13" spans="1:10" ht="15">
      <c r="C13" s="43" t="s">
        <v>5</v>
      </c>
      <c r="D13" s="43"/>
      <c r="E13" s="43" t="s">
        <v>6</v>
      </c>
      <c r="F13" s="43"/>
      <c r="G13" s="43"/>
      <c r="H13" s="43" t="s">
        <v>7</v>
      </c>
      <c r="I13" s="43"/>
    </row>
    <row r="14" spans="1:10">
      <c r="C14" s="46">
        <f ca="1">F5-C10</f>
        <v>0.11400163216990222</v>
      </c>
      <c r="D14" s="46"/>
      <c r="E14" s="44" t="str" cm="1">
        <f t="array" aca="1" ref="E14" ca="1">_xlfn.IFS(C14&gt;0, "The future is overpriced", C14&lt;0, "The future is underpriced", C14=0, "The future is fairly priced")</f>
        <v>The future is overpriced</v>
      </c>
      <c r="F14" s="44"/>
      <c r="G14" s="44"/>
      <c r="H14" s="44" t="str">
        <f ca="1">IF(C14=0, "Not possible", "Possible")</f>
        <v>Possible</v>
      </c>
      <c r="I14" s="44"/>
    </row>
    <row r="15" spans="1:10">
      <c r="C15" s="47"/>
      <c r="D15" s="47"/>
      <c r="E15" s="45"/>
      <c r="F15" s="45"/>
      <c r="G15" s="45"/>
      <c r="H15" s="45"/>
      <c r="I15" s="45"/>
    </row>
    <row r="18" spans="1:11" ht="27">
      <c r="A18" s="6" t="s">
        <v>15</v>
      </c>
      <c r="B18" s="7"/>
    </row>
    <row r="20" spans="1:11" ht="23.25">
      <c r="C20" s="23" t="s">
        <v>8</v>
      </c>
      <c r="D20" s="24"/>
      <c r="E20" s="24"/>
      <c r="F20" s="24"/>
      <c r="G20" s="24"/>
      <c r="H20" s="24"/>
      <c r="I20" s="25"/>
      <c r="K20" s="16" t="s">
        <v>9</v>
      </c>
    </row>
    <row r="21" spans="1:11">
      <c r="C21" s="28" t="str" cm="1">
        <f t="array" aca="1" ref="C21" ca="1">_xlfn.IFS(C14&gt;0, "Cash-and-Carry: SHORT Future + LONG Spot",C14&lt; 0, "Reverse Cash-and-Carry: LONG Future + SHORT Spot",C14= 0, "No arbitrage possible")</f>
        <v>Cash-and-Carry: SHORT Future + LONG Spot</v>
      </c>
      <c r="D21" s="29"/>
      <c r="E21" s="29"/>
      <c r="F21" s="29"/>
      <c r="G21" s="29"/>
      <c r="H21" s="29"/>
      <c r="I21" s="30"/>
      <c r="K21" s="26">
        <f ca="1">ABS(C10-F5)</f>
        <v>0.11400163216990222</v>
      </c>
    </row>
    <row r="22" spans="1:11" ht="15" customHeight="1">
      <c r="C22" s="31"/>
      <c r="D22" s="32"/>
      <c r="E22" s="32"/>
      <c r="F22" s="32"/>
      <c r="G22" s="32"/>
      <c r="H22" s="32"/>
      <c r="I22" s="33"/>
      <c r="K22" s="26"/>
    </row>
    <row r="23" spans="1:11" ht="15" customHeight="1">
      <c r="C23" s="34" t="str" cm="1">
        <f t="array" aca="1" ref="C23" ca="1">_xlfn.IFS(C14&gt;0, "Buy the Spot (or ETF) --&gt; Sell the Future --&gt; Hold until maturity --&gt; Deliver spot / settle the future", C14&lt;0, "Short the Spot (or ETF) --&gt; Buy the Future --&gt; Hold until maturity", C14= 0, "No arbitrage possible")</f>
        <v>Buy the Spot (or ETF) --&gt; Sell the Future --&gt; Hold until maturity --&gt; Deliver spot / settle the future</v>
      </c>
      <c r="D23" s="35"/>
      <c r="E23" s="35"/>
      <c r="F23" s="35"/>
      <c r="G23" s="35"/>
      <c r="H23" s="35"/>
      <c r="I23" s="36"/>
      <c r="K23" s="27"/>
    </row>
  </sheetData>
  <mergeCells count="12">
    <mergeCell ref="C20:I20"/>
    <mergeCell ref="K21:K23"/>
    <mergeCell ref="C21:I22"/>
    <mergeCell ref="C23:I23"/>
    <mergeCell ref="A10:B11"/>
    <mergeCell ref="C10:C11"/>
    <mergeCell ref="H13:I13"/>
    <mergeCell ref="E14:G15"/>
    <mergeCell ref="H14:I15"/>
    <mergeCell ref="C14:D15"/>
    <mergeCell ref="E13:G13"/>
    <mergeCell ref="C13:D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86AC7-AC0E-401F-B7AE-974B38C322A5}">
  <sheetPr codeName="Sheet2"/>
  <dimension ref="A2:Q23"/>
  <sheetViews>
    <sheetView tabSelected="1" topLeftCell="C2" zoomScale="77" workbookViewId="0">
      <selection activeCell="C23" sqref="C23:I23"/>
    </sheetView>
  </sheetViews>
  <sheetFormatPr defaultColWidth="11.375" defaultRowHeight="14.25"/>
  <cols>
    <col min="1" max="1" width="11.375" style="1"/>
    <col min="2" max="2" width="14.125" style="1" bestFit="1" customWidth="1"/>
    <col min="3" max="3" width="11.375" style="1"/>
    <col min="4" max="4" width="19.125" style="1" bestFit="1" customWidth="1"/>
    <col min="5" max="5" width="11.375" style="1"/>
    <col min="6" max="6" width="22" style="1" bestFit="1" customWidth="1"/>
    <col min="7" max="7" width="12.625" style="1" bestFit="1" customWidth="1"/>
    <col min="8" max="8" width="16.375" style="1" customWidth="1"/>
    <col min="9" max="9" width="17.75" style="1" customWidth="1"/>
    <col min="10" max="10" width="14.125" style="1" customWidth="1"/>
    <col min="11" max="11" width="12.75" style="1" bestFit="1" customWidth="1"/>
    <col min="12" max="12" width="11.375" style="1"/>
    <col min="13" max="13" width="12.125" style="1" bestFit="1" customWidth="1"/>
    <col min="14" max="14" width="14.125" style="1" bestFit="1" customWidth="1"/>
    <col min="15" max="15" width="13.5" style="1" customWidth="1"/>
    <col min="16" max="16" width="13.375" style="1" customWidth="1"/>
    <col min="17" max="17" width="18.125" style="1" bestFit="1" customWidth="1"/>
    <col min="18" max="16384" width="11.375" style="1"/>
  </cols>
  <sheetData>
    <row r="2" spans="1:17" ht="27">
      <c r="A2" s="2" t="s">
        <v>21</v>
      </c>
      <c r="B2" s="3"/>
    </row>
    <row r="4" spans="1:17" ht="19.5" customHeight="1">
      <c r="B4" s="15" t="s">
        <v>10</v>
      </c>
      <c r="C4" s="15" t="s">
        <v>0</v>
      </c>
      <c r="D4" s="15" t="s">
        <v>30</v>
      </c>
      <c r="E4" s="15" t="s">
        <v>0</v>
      </c>
      <c r="F4" s="15" t="s">
        <v>31</v>
      </c>
      <c r="G4" s="15" t="s">
        <v>3</v>
      </c>
      <c r="H4" s="15" t="s">
        <v>20</v>
      </c>
      <c r="I4" s="15" t="s">
        <v>18</v>
      </c>
      <c r="J4" s="15" t="s">
        <v>22</v>
      </c>
      <c r="M4" s="15" t="s">
        <v>24</v>
      </c>
      <c r="N4" s="15" t="s">
        <v>25</v>
      </c>
      <c r="O4" s="15" t="s">
        <v>39</v>
      </c>
      <c r="P4" s="15" t="s">
        <v>26</v>
      </c>
      <c r="Q4" s="15" t="s">
        <v>11</v>
      </c>
    </row>
    <row r="5" spans="1:17" ht="26.25" customHeight="1">
      <c r="B5" s="8" t="s">
        <v>23</v>
      </c>
      <c r="C5" s="8" t="s">
        <v>33</v>
      </c>
      <c r="D5" s="21">
        <v>68.250100000000003</v>
      </c>
      <c r="E5" s="8" t="s">
        <v>32</v>
      </c>
      <c r="F5" s="22">
        <v>68.264099999999999</v>
      </c>
      <c r="G5" s="9">
        <v>5.0999999999999997E-2</v>
      </c>
      <c r="H5" s="11">
        <v>46132</v>
      </c>
      <c r="I5" s="12">
        <f ca="1">(H5-TODAY())/365</f>
        <v>0.15890410958904111</v>
      </c>
      <c r="J5" s="10">
        <f>SUM(M5:P5)</f>
        <v>7.8000000000000014E-2</v>
      </c>
      <c r="M5" s="9">
        <v>0.02</v>
      </c>
      <c r="N5" s="18">
        <v>3.0000000000000001E-3</v>
      </c>
      <c r="O5" s="18">
        <v>0.05</v>
      </c>
      <c r="P5" s="17">
        <v>5.0000000000000001E-3</v>
      </c>
      <c r="Q5" s="19">
        <f ca="1">(G5+M5)-(1/I5)*LN(F5/D5)</f>
        <v>6.9709241257177215E-2</v>
      </c>
    </row>
    <row r="8" spans="1:17" ht="27">
      <c r="A8" s="4" t="s">
        <v>14</v>
      </c>
      <c r="B8" s="5"/>
      <c r="C8" s="5"/>
    </row>
    <row r="10" spans="1:17">
      <c r="A10" s="37" t="s">
        <v>37</v>
      </c>
      <c r="B10" s="38"/>
      <c r="C10" s="50">
        <f ca="1">D5*EXP((G5+J5-Q5)*I5)</f>
        <v>68.896160066841148</v>
      </c>
    </row>
    <row r="11" spans="1:17">
      <c r="A11" s="39"/>
      <c r="B11" s="40"/>
      <c r="C11" s="51"/>
    </row>
    <row r="13" spans="1:17" ht="15">
      <c r="C13" s="43" t="s">
        <v>5</v>
      </c>
      <c r="D13" s="43"/>
      <c r="E13" s="43" t="s">
        <v>6</v>
      </c>
      <c r="F13" s="43"/>
      <c r="G13" s="43"/>
      <c r="H13" s="43" t="s">
        <v>7</v>
      </c>
      <c r="I13" s="43"/>
    </row>
    <row r="14" spans="1:17">
      <c r="C14" s="52">
        <f ca="1">F5-C10</f>
        <v>-0.63206006684114868</v>
      </c>
      <c r="D14" s="52"/>
      <c r="E14" s="44" t="str" cm="1">
        <f t="array" aca="1" ref="E14" ca="1">_xlfn.IFS(C14&gt;0, "The future is overpriced", C14&lt;0, "The future is underpriced", C14=0, "The future is fairly priced")</f>
        <v>The future is underpriced</v>
      </c>
      <c r="F14" s="44"/>
      <c r="G14" s="44"/>
      <c r="H14" s="44" t="str">
        <f ca="1">IF(C14=0, "Not possible", "Possible")</f>
        <v>Possible</v>
      </c>
      <c r="I14" s="44"/>
    </row>
    <row r="15" spans="1:17">
      <c r="C15" s="53"/>
      <c r="D15" s="53"/>
      <c r="E15" s="45"/>
      <c r="F15" s="45"/>
      <c r="G15" s="45"/>
      <c r="H15" s="45"/>
      <c r="I15" s="45"/>
    </row>
    <row r="18" spans="1:11" ht="27">
      <c r="A18" s="6" t="s">
        <v>15</v>
      </c>
      <c r="B18" s="7"/>
    </row>
    <row r="20" spans="1:11" ht="23.25">
      <c r="C20" s="23" t="s">
        <v>8</v>
      </c>
      <c r="D20" s="24"/>
      <c r="E20" s="24"/>
      <c r="F20" s="24"/>
      <c r="G20" s="24"/>
      <c r="H20" s="24"/>
      <c r="I20" s="25"/>
      <c r="K20" s="16" t="s">
        <v>9</v>
      </c>
    </row>
    <row r="21" spans="1:11">
      <c r="C21" s="28" t="str" cm="1">
        <f t="array" aca="1" ref="C21" ca="1">_xlfn.IFS(C14&gt;0, "Cash-and-Carry: SHORT Future + LONG Spot",C14&lt; 0, "Reverse Cash-and-Carry: LONG Future + SHORT Spot",C14= 0, "No arbitrage possible")</f>
        <v>Reverse Cash-and-Carry: LONG Future + SHORT Spot</v>
      </c>
      <c r="D21" s="29"/>
      <c r="E21" s="29"/>
      <c r="F21" s="29"/>
      <c r="G21" s="29"/>
      <c r="H21" s="29"/>
      <c r="I21" s="30"/>
      <c r="K21" s="48">
        <f ca="1">ABS(C10-F5)</f>
        <v>0.63206006684114868</v>
      </c>
    </row>
    <row r="22" spans="1:11" ht="15" customHeight="1">
      <c r="C22" s="31"/>
      <c r="D22" s="32"/>
      <c r="E22" s="32"/>
      <c r="F22" s="32"/>
      <c r="G22" s="32"/>
      <c r="H22" s="32"/>
      <c r="I22" s="33"/>
      <c r="K22" s="48"/>
    </row>
    <row r="23" spans="1:11" ht="15" customHeight="1">
      <c r="C23" s="34" t="str" cm="1">
        <f t="array" aca="1" ref="C23" ca="1">_xlfn.IFS(C14&gt;0, "Buy the physical commodity --&gt; Pay storage + insurance + financing + transport --&gt; Sell the Future --&gt; Deliver at maturity", C14&lt;0, "Short the physical commodity --&gt; Buy the future", C14= 0, "No arbitrage possible")</f>
        <v>Short the physical commodity --&gt; Buy the future</v>
      </c>
      <c r="D23" s="35"/>
      <c r="E23" s="35"/>
      <c r="F23" s="35"/>
      <c r="G23" s="35"/>
      <c r="H23" s="35"/>
      <c r="I23" s="36"/>
      <c r="K23" s="49"/>
    </row>
  </sheetData>
  <mergeCells count="12">
    <mergeCell ref="C20:I20"/>
    <mergeCell ref="C21:I22"/>
    <mergeCell ref="K21:K23"/>
    <mergeCell ref="C23:I23"/>
    <mergeCell ref="A10:B11"/>
    <mergeCell ref="C10:C11"/>
    <mergeCell ref="C13:D13"/>
    <mergeCell ref="E13:G13"/>
    <mergeCell ref="H13:I13"/>
    <mergeCell ref="C14:D15"/>
    <mergeCell ref="E14:G15"/>
    <mergeCell ref="H14:I1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3FC95-6A88-478E-8AF2-CCD22FA46BBC}">
  <sheetPr codeName="Sheet3"/>
  <dimension ref="A2:M23"/>
  <sheetViews>
    <sheetView zoomScale="76" workbookViewId="0">
      <selection activeCell="C21" sqref="C21:K22"/>
    </sheetView>
  </sheetViews>
  <sheetFormatPr defaultColWidth="11.375" defaultRowHeight="14.25"/>
  <cols>
    <col min="1" max="1" width="11.375" style="1"/>
    <col min="2" max="2" width="12.875" style="1" bestFit="1" customWidth="1"/>
    <col min="3" max="5" width="11.375" style="1"/>
    <col min="6" max="6" width="13.125" style="1" bestFit="1" customWidth="1"/>
    <col min="7" max="7" width="16.375" style="1" customWidth="1"/>
    <col min="8" max="8" width="17.75" style="1" customWidth="1"/>
    <col min="9" max="10" width="13.75" style="1" bestFit="1" customWidth="1"/>
    <col min="11" max="11" width="11.375" style="1"/>
    <col min="12" max="13" width="12.75" style="1" bestFit="1" customWidth="1"/>
    <col min="14" max="16384" width="11.375" style="1"/>
  </cols>
  <sheetData>
    <row r="2" spans="1:10" ht="27">
      <c r="A2" s="2" t="s">
        <v>21</v>
      </c>
      <c r="B2" s="3"/>
    </row>
    <row r="4" spans="1:10" ht="19.5" customHeight="1">
      <c r="B4" s="15" t="s">
        <v>10</v>
      </c>
      <c r="C4" s="15" t="s">
        <v>0</v>
      </c>
      <c r="D4" s="15" t="s">
        <v>2</v>
      </c>
      <c r="E4" s="15" t="s">
        <v>0</v>
      </c>
      <c r="F4" s="15" t="s">
        <v>35</v>
      </c>
      <c r="G4" s="15" t="s">
        <v>20</v>
      </c>
      <c r="H4" s="15" t="s">
        <v>18</v>
      </c>
      <c r="I4" s="15" t="s">
        <v>13</v>
      </c>
      <c r="J4" s="15" t="s">
        <v>12</v>
      </c>
    </row>
    <row r="5" spans="1:10" ht="26.25" customHeight="1">
      <c r="B5" s="8" t="s">
        <v>27</v>
      </c>
      <c r="C5" s="8" t="s">
        <v>28</v>
      </c>
      <c r="D5" s="13">
        <v>1.085</v>
      </c>
      <c r="E5" s="8" t="s">
        <v>29</v>
      </c>
      <c r="F5" s="14">
        <v>1.0871</v>
      </c>
      <c r="G5" s="11">
        <v>46101</v>
      </c>
      <c r="H5" s="12">
        <f ca="1">(G5-TODAY())/365</f>
        <v>7.3972602739726029E-2</v>
      </c>
      <c r="I5" s="10">
        <v>0.03</v>
      </c>
      <c r="J5" s="10">
        <v>5.8000000000000003E-2</v>
      </c>
    </row>
    <row r="8" spans="1:10" ht="27">
      <c r="A8" s="4" t="s">
        <v>34</v>
      </c>
      <c r="B8" s="5"/>
      <c r="C8" s="5"/>
    </row>
    <row r="10" spans="1:10">
      <c r="A10" s="37" t="s">
        <v>38</v>
      </c>
      <c r="B10" s="38"/>
      <c r="C10" s="41">
        <f ca="1">D5*EXP((I5-J5)*H5)</f>
        <v>1.0827550380508399</v>
      </c>
    </row>
    <row r="11" spans="1:10">
      <c r="A11" s="39"/>
      <c r="B11" s="40"/>
      <c r="C11" s="42"/>
    </row>
    <row r="13" spans="1:10" ht="15">
      <c r="C13" s="43" t="s">
        <v>5</v>
      </c>
      <c r="D13" s="43"/>
      <c r="E13" s="43" t="s">
        <v>6</v>
      </c>
      <c r="F13" s="43"/>
      <c r="G13" s="43" t="s">
        <v>7</v>
      </c>
      <c r="H13" s="43"/>
    </row>
    <row r="14" spans="1:10">
      <c r="C14" s="46">
        <f ca="1">F5-C10</f>
        <v>4.3449619491600089E-3</v>
      </c>
      <c r="D14" s="46"/>
      <c r="E14" s="44" t="str" cm="1">
        <f t="array" aca="1" ref="E14" ca="1">_xlfn.IFS(C14&gt;0, "The forward is overpriced", C14&lt;0, "The forward is underpriced", C14=0, "The forward is fairly priced")</f>
        <v>The forward is overpriced</v>
      </c>
      <c r="F14" s="44"/>
      <c r="G14" s="44" t="str">
        <f ca="1">IF(C14=0, "Not possible", "Possible")</f>
        <v>Possible</v>
      </c>
      <c r="H14" s="44"/>
    </row>
    <row r="15" spans="1:10">
      <c r="C15" s="47"/>
      <c r="D15" s="47"/>
      <c r="E15" s="45"/>
      <c r="F15" s="45"/>
      <c r="G15" s="45"/>
      <c r="H15" s="45"/>
    </row>
    <row r="18" spans="1:13" ht="27">
      <c r="A18" s="6" t="s">
        <v>15</v>
      </c>
      <c r="B18" s="7"/>
    </row>
    <row r="20" spans="1:13" ht="23.25">
      <c r="C20" s="23" t="s">
        <v>8</v>
      </c>
      <c r="D20" s="24"/>
      <c r="E20" s="24"/>
      <c r="F20" s="24"/>
      <c r="G20" s="24"/>
      <c r="H20" s="24"/>
      <c r="I20" s="24"/>
      <c r="J20" s="24"/>
      <c r="K20" s="25"/>
      <c r="M20" s="16" t="s">
        <v>9</v>
      </c>
    </row>
    <row r="21" spans="1:13">
      <c r="C21" s="28" t="str" cm="1">
        <f t="array" aca="1" ref="C21" ca="1">_xlfn.IFS(C14&gt;0, "Covered Interest Arbitrage (CIA)",C14&lt; 0, "Reverse Covered Interest Arbitrage",C14= 0, "No arbitrage possible")</f>
        <v>Covered Interest Arbitrage (CIA)</v>
      </c>
      <c r="D21" s="29"/>
      <c r="E21" s="29"/>
      <c r="F21" s="29"/>
      <c r="G21" s="29"/>
      <c r="H21" s="29"/>
      <c r="I21" s="29"/>
      <c r="J21" s="29"/>
      <c r="K21" s="30"/>
      <c r="M21" s="26">
        <f ca="1">ABS(C10-F5)</f>
        <v>4.3449619491600089E-3</v>
      </c>
    </row>
    <row r="22" spans="1:13" ht="15" customHeight="1">
      <c r="C22" s="31"/>
      <c r="D22" s="32"/>
      <c r="E22" s="32"/>
      <c r="F22" s="32"/>
      <c r="G22" s="32"/>
      <c r="H22" s="32"/>
      <c r="I22" s="32"/>
      <c r="J22" s="32"/>
      <c r="K22" s="33"/>
      <c r="M22" s="26"/>
    </row>
    <row r="23" spans="1:13" ht="15" customHeight="1">
      <c r="C23" s="54" t="str" cm="1">
        <f t="array" aca="1" ref="C23" ca="1">_xlfn.IFS(C14&gt;0, "Borrow foreign currency --&gt; Convert to domestic currency (spot) --&gt; Invest domestically --&gt; Sell the forward to lock future conversion", C14&lt;0, "Borrow domestic
Convert to foreign --&gt; Invest abroad --&gt; Buy the forward", C14= 0, "No arbitrage possible")</f>
        <v>Borrow foreign currency --&gt; Convert to domestic currency (spot) --&gt; Invest domestically --&gt; Sell the forward to lock future conversion</v>
      </c>
      <c r="D23" s="55"/>
      <c r="E23" s="55"/>
      <c r="F23" s="55"/>
      <c r="G23" s="55"/>
      <c r="H23" s="55"/>
      <c r="I23" s="55"/>
      <c r="J23" s="55"/>
      <c r="K23" s="56"/>
      <c r="M23" s="27"/>
    </row>
  </sheetData>
  <mergeCells count="12">
    <mergeCell ref="C21:K22"/>
    <mergeCell ref="M21:M23"/>
    <mergeCell ref="C20:K20"/>
    <mergeCell ref="C23:K23"/>
    <mergeCell ref="A10:B11"/>
    <mergeCell ref="C10:C11"/>
    <mergeCell ref="C13:D13"/>
    <mergeCell ref="E13:F13"/>
    <mergeCell ref="G13:H13"/>
    <mergeCell ref="C14:D15"/>
    <mergeCell ref="E14:F15"/>
    <mergeCell ref="G14:H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Stock</vt:lpstr>
      <vt:lpstr>Commodity</vt:lpstr>
      <vt:lpstr>FX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EL GBOURI</dc:creator>
  <cp:lastModifiedBy>EL GBOURI Adam</cp:lastModifiedBy>
  <dcterms:created xsi:type="dcterms:W3CDTF">2026-02-16T15:33:52Z</dcterms:created>
  <dcterms:modified xsi:type="dcterms:W3CDTF">2026-02-21T16:33:35Z</dcterms:modified>
</cp:coreProperties>
</file>